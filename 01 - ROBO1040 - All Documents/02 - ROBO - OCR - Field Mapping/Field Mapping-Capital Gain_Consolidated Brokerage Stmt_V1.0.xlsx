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Q:\QXAS US\6. SFR\Sanjay\"/>
    </mc:Choice>
  </mc:AlternateContent>
  <xr:revisionPtr revIDLastSave="0" documentId="13_ncr:1_{6151FDEF-EFE3-47A1-A8F8-DF8C90681F31}" xr6:coauthVersionLast="36" xr6:coauthVersionMax="47" xr10:uidLastSave="{00000000-0000-0000-0000-000000000000}"/>
  <bookViews>
    <workbookView xWindow="0" yWindow="0" windowWidth="19008" windowHeight="9924" activeTab="1" xr2:uid="{00000000-000D-0000-FFFF-FFFF00000000}"/>
  </bookViews>
  <sheets>
    <sheet name="Capital Gain_1099-B" sheetId="1" r:id="rId1"/>
    <sheet name="Consolidated Brokerage Stateme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</calcChain>
</file>

<file path=xl/sharedStrings.xml><?xml version="1.0" encoding="utf-8"?>
<sst xmlns="http://schemas.openxmlformats.org/spreadsheetml/2006/main" count="180" uniqueCount="125">
  <si>
    <t>Payer Address</t>
  </si>
  <si>
    <t>Payer ZipCode</t>
  </si>
  <si>
    <t>Payer City</t>
  </si>
  <si>
    <t>Taxpayer Details</t>
  </si>
  <si>
    <t>Payer State</t>
  </si>
  <si>
    <t>Payer County</t>
  </si>
  <si>
    <t>Recipient's Name *</t>
  </si>
  <si>
    <t>Payer Name *</t>
  </si>
  <si>
    <t>Recipient's Street Address (including apt. no.)*</t>
  </si>
  <si>
    <t>Sr.No</t>
  </si>
  <si>
    <t>ROBO Field</t>
  </si>
  <si>
    <t>Section</t>
  </si>
  <si>
    <t>Recipient ZipCode*</t>
  </si>
  <si>
    <t>Recipient City*</t>
  </si>
  <si>
    <t>Recipient State*</t>
  </si>
  <si>
    <t>Recipient County*</t>
  </si>
  <si>
    <t>1099-DIV</t>
  </si>
  <si>
    <t>1a. Total ordinary dividends*</t>
  </si>
  <si>
    <t>1b. Qualified dividends *</t>
  </si>
  <si>
    <t>2a. Total capital gain distr.</t>
  </si>
  <si>
    <t>2b. Unrecap. Sec. 1250 gain</t>
  </si>
  <si>
    <t>2c. Section 1202 gain</t>
  </si>
  <si>
    <t>2d. Collectibles (28%) gain</t>
  </si>
  <si>
    <t>2e. Section 897 ordinary dividends</t>
  </si>
  <si>
    <t>2f. Section 897 capital gain</t>
  </si>
  <si>
    <t>3. Nondividend distributions</t>
  </si>
  <si>
    <t>4. Federal income tax withheld</t>
  </si>
  <si>
    <t>5. Section 199A dividends</t>
  </si>
  <si>
    <t>6. Investment expenses</t>
  </si>
  <si>
    <t>7. Foreign tax paid *</t>
  </si>
  <si>
    <t>8. Foreign County or U.S. possession</t>
  </si>
  <si>
    <t>9. Cash liquidation distributions</t>
  </si>
  <si>
    <t>10. Noncash liquidation distributions</t>
  </si>
  <si>
    <t>11. FATCA filing Requirement</t>
  </si>
  <si>
    <t>12 Exempt-interest dividends</t>
  </si>
  <si>
    <t>13. Specified private activity bond interest dividends</t>
  </si>
  <si>
    <t>14. State</t>
  </si>
  <si>
    <t>15. State identification no.</t>
  </si>
  <si>
    <t>16. State tax withheld</t>
  </si>
  <si>
    <t>1099-INT</t>
  </si>
  <si>
    <t>1. Interest Income *</t>
  </si>
  <si>
    <t>2. Early withdrawal penalty</t>
  </si>
  <si>
    <t>3. Interest on U.S. Savings Bonds and Treasury obligations</t>
  </si>
  <si>
    <t>5. Investment expenses</t>
  </si>
  <si>
    <t>6. Foreign tax paid</t>
  </si>
  <si>
    <t>7. Foreign County or U.S. possession</t>
  </si>
  <si>
    <t>8. Tax-exempt interest</t>
  </si>
  <si>
    <t>9. Specified private activity bond</t>
  </si>
  <si>
    <t>10. Market discount</t>
  </si>
  <si>
    <t>11. Bond premium</t>
  </si>
  <si>
    <t>12. Bond premium on Treasury obligations</t>
  </si>
  <si>
    <t>13. Bond premium on tax-exempt bond</t>
  </si>
  <si>
    <t>14. Tax-exempt and tax credit bond CUSIP no.</t>
  </si>
  <si>
    <t>15. State</t>
  </si>
  <si>
    <t>16 State identification no.</t>
  </si>
  <si>
    <t>17. State tax withheld</t>
  </si>
  <si>
    <t>1099-MISC</t>
  </si>
  <si>
    <t>2. Royalties *</t>
  </si>
  <si>
    <t>3. Other income *</t>
  </si>
  <si>
    <t>4.Federal income tax withheld</t>
  </si>
  <si>
    <t>8.Substitute payments in lieu of dividends or interest</t>
  </si>
  <si>
    <t>17. State/Payer’s state no.</t>
  </si>
  <si>
    <t>18. State income</t>
  </si>
  <si>
    <t>Capital Gain</t>
  </si>
  <si>
    <t>Short-term gain or loss/ Long-term gain or loss/Ordinary</t>
  </si>
  <si>
    <t>1a. Description of property (Example: 100 sh. XYZ Co.)</t>
  </si>
  <si>
    <t>1b. Date acquired/Various</t>
  </si>
  <si>
    <t xml:space="preserve">1c. Date sold or disposed/Various	</t>
  </si>
  <si>
    <t>1d. Proceed</t>
  </si>
  <si>
    <t>1e. Cost or other basis</t>
  </si>
  <si>
    <t>1f. Accrued market discount</t>
  </si>
  <si>
    <t>1g. Wash sale loss disallowed</t>
  </si>
  <si>
    <t>3. If checked, proceeds from: Collectibles/QOF</t>
  </si>
  <si>
    <t>5. If checked, noncovered security</t>
  </si>
  <si>
    <t>6. Reported to IRS: Gross proceeds/ Net proceeds</t>
  </si>
  <si>
    <t>7. If checked, loss is not allowed based on amount in 1d</t>
  </si>
  <si>
    <t>8. Profit or (loss) realized in 2023 on closed contracts</t>
  </si>
  <si>
    <t>9 Unrealized profit or (loss) on open contracts—12/31/2022</t>
  </si>
  <si>
    <t>10. Unrealized profit or (loss) on open contracts—12/31/2023</t>
  </si>
  <si>
    <t>11. Aggregate profit or (loss) on contracts</t>
  </si>
  <si>
    <t>12. If checked, basis reported to IRS</t>
  </si>
  <si>
    <t>13. Bartering</t>
  </si>
  <si>
    <t>14. State name</t>
  </si>
  <si>
    <t>15. State identification no</t>
  </si>
  <si>
    <t>16 State tax withheld</t>
  </si>
  <si>
    <t>PAYER’s name*</t>
  </si>
  <si>
    <t>PAYER’s Address</t>
  </si>
  <si>
    <t>Payer Telephone</t>
  </si>
  <si>
    <t>Street address (including apt. no.) *</t>
  </si>
  <si>
    <t>2nd TIN not</t>
  </si>
  <si>
    <t>CUSIP number</t>
  </si>
  <si>
    <t>FATCA filing requirement</t>
  </si>
  <si>
    <t>Applicable checkbox on Form 8949</t>
  </si>
  <si>
    <t>1c. Date sold or disposed/Various</t>
  </si>
  <si>
    <t>Details</t>
  </si>
  <si>
    <t>Short</t>
  </si>
  <si>
    <t>Robinhood Markets Inc</t>
  </si>
  <si>
    <t>Various</t>
  </si>
  <si>
    <t>N/A</t>
  </si>
  <si>
    <t>Yes</t>
  </si>
  <si>
    <t>Long</t>
  </si>
  <si>
    <t>Term</t>
  </si>
  <si>
    <t>Proceed</t>
  </si>
  <si>
    <t xml:space="preserve"> Description of propert</t>
  </si>
  <si>
    <t xml:space="preserve"> Date acquired</t>
  </si>
  <si>
    <t xml:space="preserve"> Date sold or disposed/Various	</t>
  </si>
  <si>
    <t>Cost or other basis</t>
  </si>
  <si>
    <t>Wash sale loss disallowed</t>
  </si>
  <si>
    <t>Market discount</t>
  </si>
  <si>
    <t>Form 8949 Type</t>
  </si>
  <si>
    <t>Description of property (Example: 100 sh. XYZ Co.)</t>
  </si>
  <si>
    <t>Date acquired/Various</t>
  </si>
  <si>
    <t>Date sold or disposed/Various</t>
  </si>
  <si>
    <t>Accrued market discount</t>
  </si>
  <si>
    <t xml:space="preserve"> Wash sale loss disallowed</t>
  </si>
  <si>
    <t>GOLDMAN SACHS PRIVATED LIMITED</t>
  </si>
  <si>
    <t>210 CALIFORNIA PLAZA</t>
  </si>
  <si>
    <t>CALIFORNIA</t>
  </si>
  <si>
    <t>CA</t>
  </si>
  <si>
    <t>AMIT SHAH</t>
  </si>
  <si>
    <t>3801 GREENPARK STREET</t>
  </si>
  <si>
    <t>NEW YORK</t>
  </si>
  <si>
    <t>HOUSE</t>
  </si>
  <si>
    <t>20/04/2024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</si>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</sst>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1712879</xdr:colOff>
      <xdr:row>4</xdr:row>
      <xdr:rowOff>101221</xdr:rowOff>
    </xdr:from>
    <xdr:to>
      <xdr:col>10</xdr:col>
      <xdr:colOff>162910</xdr:colOff>
      <xdr:row>20</xdr:row>
      <xdr:rowOff>37829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5BF70-5BE5-4C5E-9A0F-B7C9E52FD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2507" y="836945"/>
          <a:ext cx="4188679" cy="2879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2110741</xdr:colOff>
      <xdr:row>28</xdr:row>
      <xdr:rowOff>1</xdr:rowOff>
    </xdr:from>
    <xdr:to>
      <xdr:col>13</xdr:col>
      <xdr:colOff>519527</xdr:colOff>
      <xdr:row>41</xdr:row>
      <xdr:rowOff>152401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60D44E-7669-45DD-B16B-B4F344F5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8041" y="5120641"/>
          <a:ext cx="8299546" cy="2529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9"/>
  <sheetViews>
    <sheetView topLeftCell="A10" zoomScale="160" zoomScaleNormal="160" workbookViewId="0">
      <selection activeCell="D15" sqref="D15"/>
    </sheetView>
  </sheetViews>
  <sheetFormatPr defaultRowHeight="14.4" x14ac:dyDescent="0.3"/>
  <cols>
    <col min="1" max="1" width="8.77734375" style="4"/>
    <col min="2" max="2" width="42.33203125" customWidth="1"/>
    <col min="3" max="3" width="43.33203125" bestFit="1" customWidth="1"/>
    <col min="4" max="4" width="30.33203125" customWidth="1"/>
  </cols>
  <sheetData>
    <row r="2" spans="1:12" x14ac:dyDescent="0.3">
      <c r="A2" s="3" t="s">
        <v>9</v>
      </c>
      <c r="B2" s="3" t="s">
        <v>10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2">
        <v>1</v>
      </c>
      <c r="B3" s="1" t="s">
        <v>85</v>
      </c>
      <c r="C3" s="1" t="s">
        <v>85</v>
      </c>
      <c r="D3" s="6" t="s">
        <v>115</v>
      </c>
      <c r="E3" s="1"/>
      <c r="F3" s="1"/>
      <c r="G3" s="1"/>
      <c r="H3" s="1"/>
      <c r="I3" s="1"/>
      <c r="J3" s="1"/>
      <c r="K3" s="1"/>
      <c r="L3" s="1"/>
    </row>
    <row r="4" spans="1:12" x14ac:dyDescent="0.3">
      <c r="A4" s="2">
        <f>A3+1</f>
        <v>2</v>
      </c>
      <c r="B4" s="1" t="s">
        <v>86</v>
      </c>
      <c r="C4" s="1" t="s">
        <v>86</v>
      </c>
      <c r="D4" s="6" t="s">
        <v>116</v>
      </c>
      <c r="E4" s="1"/>
      <c r="F4" s="1"/>
      <c r="G4" s="1"/>
      <c r="H4" s="1"/>
      <c r="I4" s="1"/>
      <c r="J4" s="1"/>
      <c r="K4" s="1"/>
      <c r="L4" s="1"/>
    </row>
    <row r="5" spans="1:12" x14ac:dyDescent="0.3">
      <c r="A5" s="2">
        <f t="shared" ref="A5:A28" si="0">A4+1</f>
        <v>3</v>
      </c>
      <c r="B5" s="1" t="s">
        <v>1</v>
      </c>
      <c r="C5" s="1" t="s">
        <v>1</v>
      </c>
      <c r="D5" s="6">
        <v>10006</v>
      </c>
      <c r="E5" s="1"/>
      <c r="F5" s="1"/>
      <c r="G5" s="1"/>
      <c r="H5" s="1"/>
      <c r="I5" s="1"/>
      <c r="J5" s="1"/>
      <c r="K5" s="1"/>
      <c r="L5" s="1"/>
    </row>
    <row r="6" spans="1:12" x14ac:dyDescent="0.3">
      <c r="A6" s="2">
        <f t="shared" si="0"/>
        <v>4</v>
      </c>
      <c r="B6" s="1" t="s">
        <v>2</v>
      </c>
      <c r="C6" s="1" t="s">
        <v>2</v>
      </c>
      <c r="D6" s="6" t="s">
        <v>117</v>
      </c>
      <c r="E6" s="1"/>
      <c r="F6" s="1"/>
      <c r="G6" s="1"/>
      <c r="H6" s="1"/>
      <c r="I6" s="1"/>
      <c r="J6" s="1"/>
      <c r="K6" s="1"/>
      <c r="L6" s="1"/>
    </row>
    <row r="7" spans="1:12" x14ac:dyDescent="0.3">
      <c r="A7" s="2">
        <f t="shared" si="0"/>
        <v>5</v>
      </c>
      <c r="B7" s="1" t="s">
        <v>4</v>
      </c>
      <c r="C7" s="1" t="s">
        <v>4</v>
      </c>
      <c r="D7" s="6" t="s">
        <v>118</v>
      </c>
      <c r="E7" s="1"/>
      <c r="F7" s="1"/>
      <c r="G7" s="1"/>
      <c r="H7" s="1"/>
      <c r="I7" s="1"/>
      <c r="J7" s="1"/>
      <c r="K7" s="1"/>
      <c r="L7" s="1"/>
    </row>
    <row r="8" spans="1:12" x14ac:dyDescent="0.3">
      <c r="A8" s="2">
        <f t="shared" si="0"/>
        <v>6</v>
      </c>
      <c r="B8" s="1" t="s">
        <v>5</v>
      </c>
      <c r="C8" s="1" t="s">
        <v>5</v>
      </c>
      <c r="D8" s="6"/>
      <c r="E8" s="1"/>
      <c r="F8" s="1"/>
      <c r="G8" s="1"/>
      <c r="H8" s="1"/>
      <c r="I8" s="1"/>
      <c r="J8" s="1"/>
      <c r="K8" s="1"/>
      <c r="L8" s="1"/>
    </row>
    <row r="9" spans="1:12" x14ac:dyDescent="0.3">
      <c r="A9" s="2">
        <f t="shared" si="0"/>
        <v>7</v>
      </c>
      <c r="B9" s="1" t="s">
        <v>87</v>
      </c>
      <c r="C9" s="1" t="s">
        <v>87</v>
      </c>
      <c r="D9" s="6"/>
      <c r="E9" s="1"/>
      <c r="F9" s="1"/>
      <c r="G9" s="1"/>
      <c r="H9" s="1"/>
      <c r="I9" s="1"/>
      <c r="J9" s="1"/>
      <c r="K9" s="1"/>
      <c r="L9" s="1"/>
    </row>
    <row r="10" spans="1:12" x14ac:dyDescent="0.3">
      <c r="A10" s="2">
        <f t="shared" si="0"/>
        <v>8</v>
      </c>
      <c r="B10" s="1" t="s">
        <v>6</v>
      </c>
      <c r="C10" s="1" t="s">
        <v>6</v>
      </c>
      <c r="D10" s="6" t="s">
        <v>119</v>
      </c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2">
        <f t="shared" si="0"/>
        <v>9</v>
      </c>
      <c r="B11" s="1" t="s">
        <v>88</v>
      </c>
      <c r="C11" s="1" t="s">
        <v>88</v>
      </c>
      <c r="D11" s="6" t="s">
        <v>120</v>
      </c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2">
        <f t="shared" si="0"/>
        <v>10</v>
      </c>
      <c r="B12" s="1" t="s">
        <v>89</v>
      </c>
      <c r="C12" s="1" t="s">
        <v>89</v>
      </c>
      <c r="D12" s="6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2">
        <f t="shared" si="0"/>
        <v>11</v>
      </c>
      <c r="B13" s="1" t="s">
        <v>12</v>
      </c>
      <c r="C13" s="1" t="s">
        <v>12</v>
      </c>
      <c r="D13" s="6">
        <v>10010</v>
      </c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2">
        <f t="shared" si="0"/>
        <v>12</v>
      </c>
      <c r="B14" s="1" t="s">
        <v>13</v>
      </c>
      <c r="C14" s="1" t="s">
        <v>13</v>
      </c>
      <c r="D14" s="6" t="s">
        <v>121</v>
      </c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2">
        <f t="shared" si="0"/>
        <v>13</v>
      </c>
      <c r="B15" s="1" t="s">
        <v>14</v>
      </c>
      <c r="C15" s="1" t="s">
        <v>14</v>
      </c>
      <c r="D15" s="6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2">
        <f t="shared" si="0"/>
        <v>14</v>
      </c>
      <c r="B16" s="1" t="s">
        <v>15</v>
      </c>
      <c r="C16" s="1" t="s">
        <v>15</v>
      </c>
      <c r="D16" s="6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2">
        <f t="shared" si="0"/>
        <v>15</v>
      </c>
      <c r="B17" s="1" t="s">
        <v>90</v>
      </c>
      <c r="C17" s="1" t="s">
        <v>90</v>
      </c>
      <c r="D17" s="6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2">
        <f t="shared" si="0"/>
        <v>16</v>
      </c>
      <c r="B18" s="1" t="s">
        <v>91</v>
      </c>
      <c r="C18" s="1" t="s">
        <v>91</v>
      </c>
      <c r="D18" s="6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2">
        <f t="shared" si="0"/>
        <v>17</v>
      </c>
      <c r="B19" s="1" t="s">
        <v>92</v>
      </c>
      <c r="C19" s="1" t="s">
        <v>92</v>
      </c>
      <c r="D19" s="6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2">
        <f t="shared" si="0"/>
        <v>18</v>
      </c>
      <c r="B20" s="1" t="s">
        <v>64</v>
      </c>
      <c r="C20" s="1"/>
      <c r="D20" s="6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2">
        <f t="shared" si="0"/>
        <v>19</v>
      </c>
      <c r="B21" s="1" t="s">
        <v>65</v>
      </c>
      <c r="C21" s="1" t="s">
        <v>110</v>
      </c>
      <c r="D21" s="6" t="s">
        <v>122</v>
      </c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2">
        <f t="shared" si="0"/>
        <v>20</v>
      </c>
      <c r="B22" s="1" t="s">
        <v>66</v>
      </c>
      <c r="C22" s="1" t="s">
        <v>111</v>
      </c>
      <c r="D22" s="6" t="s">
        <v>123</v>
      </c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2">
        <f t="shared" si="0"/>
        <v>21</v>
      </c>
      <c r="B23" s="1" t="s">
        <v>93</v>
      </c>
      <c r="C23" s="1" t="s">
        <v>112</v>
      </c>
      <c r="D23" s="5">
        <v>45299</v>
      </c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2">
        <f t="shared" si="0"/>
        <v>22</v>
      </c>
      <c r="B24" s="1" t="s">
        <v>68</v>
      </c>
      <c r="C24" s="1" t="s">
        <v>102</v>
      </c>
      <c r="D24" s="6">
        <v>110000</v>
      </c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2">
        <f t="shared" si="0"/>
        <v>23</v>
      </c>
      <c r="B25" s="1" t="s">
        <v>69</v>
      </c>
      <c r="C25" s="1" t="s">
        <v>106</v>
      </c>
      <c r="D25" s="6">
        <v>100000</v>
      </c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2">
        <f t="shared" si="0"/>
        <v>24</v>
      </c>
      <c r="B26" s="1" t="s">
        <v>70</v>
      </c>
      <c r="C26" s="1" t="s">
        <v>113</v>
      </c>
      <c r="D26" s="6">
        <v>0</v>
      </c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2">
        <f t="shared" si="0"/>
        <v>25</v>
      </c>
      <c r="B27" s="1" t="s">
        <v>71</v>
      </c>
      <c r="C27" s="1" t="s">
        <v>114</v>
      </c>
      <c r="D27" s="6">
        <v>0</v>
      </c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2">
        <f t="shared" si="0"/>
        <v>26</v>
      </c>
      <c r="B28" s="1" t="s">
        <v>94</v>
      </c>
      <c r="C28" s="1" t="s">
        <v>98</v>
      </c>
      <c r="D28" s="6"/>
      <c r="E28" s="1"/>
      <c r="F28" s="1"/>
      <c r="G28" s="1"/>
      <c r="H28" s="1"/>
      <c r="I28" s="1"/>
      <c r="J28" s="1"/>
      <c r="K28" s="1"/>
      <c r="L28" s="1"/>
    </row>
    <row r="30" spans="1:12" x14ac:dyDescent="0.3">
      <c r="A30"/>
    </row>
    <row r="31" spans="1:12" x14ac:dyDescent="0.3">
      <c r="A31"/>
    </row>
    <row r="32" spans="1:1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B9E6-9C7B-4195-99A9-920BE28FC8E5}">
  <dimension ref="A2:M82"/>
  <sheetViews>
    <sheetView tabSelected="1" topLeftCell="A28" zoomScaleNormal="100" workbookViewId="0">
      <selection activeCell="D80" sqref="D80"/>
    </sheetView>
  </sheetViews>
  <sheetFormatPr defaultRowHeight="14.4" x14ac:dyDescent="0.3"/>
  <cols>
    <col min="1" max="1" width="8.77734375" style="4"/>
    <col min="2" max="2" width="14.6640625" style="4" bestFit="1" customWidth="1"/>
    <col min="3" max="3" width="50.44140625" customWidth="1"/>
    <col min="4" max="4" width="41.77734375" customWidth="1"/>
    <col min="5" max="6" width="20.109375" bestFit="1" customWidth="1"/>
  </cols>
  <sheetData>
    <row r="2" spans="1:13" x14ac:dyDescent="0.3">
      <c r="A2" s="3" t="s">
        <v>9</v>
      </c>
      <c r="B2" s="3" t="s">
        <v>11</v>
      </c>
      <c r="C2" s="3" t="s">
        <v>10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>
        <v>1</v>
      </c>
      <c r="B3" s="2" t="s">
        <v>3</v>
      </c>
      <c r="C3" s="1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2">
        <f>A3+1</f>
        <v>2</v>
      </c>
      <c r="B4" s="2"/>
      <c r="C4" s="1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2">
        <f t="shared" ref="A5:A68" si="0">A4+1</f>
        <v>3</v>
      </c>
      <c r="B5" s="2"/>
      <c r="C5" s="1" t="s">
        <v>1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2">
        <f t="shared" si="0"/>
        <v>4</v>
      </c>
      <c r="B6" s="2"/>
      <c r="C6" s="1" t="s">
        <v>2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">
        <f t="shared" si="0"/>
        <v>5</v>
      </c>
      <c r="B7" s="2"/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2">
        <f t="shared" si="0"/>
        <v>6</v>
      </c>
      <c r="B8" s="2"/>
      <c r="C8" s="1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>
        <f t="shared" si="0"/>
        <v>7</v>
      </c>
      <c r="B9" s="2"/>
      <c r="C9" s="1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2">
        <f t="shared" si="0"/>
        <v>8</v>
      </c>
      <c r="B10" s="2"/>
      <c r="C10" s="1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2">
        <f t="shared" si="0"/>
        <v>9</v>
      </c>
      <c r="B11" s="2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2">
        <f t="shared" si="0"/>
        <v>10</v>
      </c>
      <c r="B12" s="2"/>
      <c r="C12" s="1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2">
        <f t="shared" si="0"/>
        <v>11</v>
      </c>
      <c r="B13" s="2"/>
      <c r="C13" s="1" t="s">
        <v>14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2">
        <f t="shared" si="0"/>
        <v>12</v>
      </c>
      <c r="B14" s="2"/>
      <c r="C14" s="1" t="s">
        <v>15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2">
        <f t="shared" si="0"/>
        <v>13</v>
      </c>
      <c r="B15" s="2" t="s">
        <v>16</v>
      </c>
      <c r="C15" s="1" t="s">
        <v>17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2">
        <f t="shared" si="0"/>
        <v>14</v>
      </c>
      <c r="B16" s="2"/>
      <c r="C16" s="1" t="s">
        <v>18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2">
        <f t="shared" si="0"/>
        <v>15</v>
      </c>
      <c r="B17" s="2"/>
      <c r="C17" s="1" t="s">
        <v>19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2">
        <f t="shared" si="0"/>
        <v>16</v>
      </c>
      <c r="B18" s="2"/>
      <c r="C18" s="1" t="s">
        <v>20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2">
        <f t="shared" si="0"/>
        <v>17</v>
      </c>
      <c r="B19" s="2"/>
      <c r="C19" s="1" t="s">
        <v>21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2">
        <f t="shared" si="0"/>
        <v>18</v>
      </c>
      <c r="B20" s="2"/>
      <c r="C20" s="1" t="s">
        <v>22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2">
        <f t="shared" si="0"/>
        <v>19</v>
      </c>
      <c r="B21" s="2"/>
      <c r="C21" s="1" t="s">
        <v>23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2">
        <f t="shared" si="0"/>
        <v>20</v>
      </c>
      <c r="B22" s="2"/>
      <c r="C22" s="1" t="s">
        <v>24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2">
        <f t="shared" si="0"/>
        <v>21</v>
      </c>
      <c r="B23" s="2"/>
      <c r="C23" s="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2">
        <f t="shared" si="0"/>
        <v>22</v>
      </c>
      <c r="B24" s="2"/>
      <c r="C24" s="1" t="s">
        <v>26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2">
        <f t="shared" si="0"/>
        <v>23</v>
      </c>
      <c r="B25" s="2"/>
      <c r="C25" s="1" t="s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2">
        <f t="shared" si="0"/>
        <v>24</v>
      </c>
      <c r="B26" s="2"/>
      <c r="C26" s="1" t="s">
        <v>28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2">
        <f t="shared" si="0"/>
        <v>25</v>
      </c>
      <c r="B27" s="2"/>
      <c r="C27" s="1" t="s">
        <v>29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">
      <c r="A28" s="2">
        <f t="shared" si="0"/>
        <v>26</v>
      </c>
      <c r="B28" s="2"/>
      <c r="C28" s="1" t="s">
        <v>30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2">
        <f t="shared" si="0"/>
        <v>27</v>
      </c>
      <c r="B29" s="2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">
      <c r="A30" s="2">
        <f t="shared" si="0"/>
        <v>28</v>
      </c>
      <c r="B30" s="2"/>
      <c r="C30" s="1" t="s">
        <v>32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2">
        <f t="shared" si="0"/>
        <v>29</v>
      </c>
      <c r="B31" s="2"/>
      <c r="C31" s="1" t="s">
        <v>33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2">
        <f t="shared" si="0"/>
        <v>30</v>
      </c>
      <c r="B32" s="2"/>
      <c r="C32" s="1" t="s">
        <v>34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2">
        <f t="shared" si="0"/>
        <v>31</v>
      </c>
      <c r="B33" s="2"/>
      <c r="C33" s="1" t="s">
        <v>35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2">
        <f t="shared" si="0"/>
        <v>32</v>
      </c>
      <c r="B34" s="2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2">
        <f t="shared" si="0"/>
        <v>33</v>
      </c>
      <c r="B35" s="2"/>
      <c r="C35" s="1" t="s">
        <v>37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2">
        <f t="shared" si="0"/>
        <v>34</v>
      </c>
      <c r="B36" s="2"/>
      <c r="C36" s="1" t="s">
        <v>38</v>
      </c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2">
        <f t="shared" si="0"/>
        <v>35</v>
      </c>
      <c r="B37" s="2" t="s">
        <v>39</v>
      </c>
      <c r="C37" s="1" t="s">
        <v>40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2">
        <f t="shared" si="0"/>
        <v>36</v>
      </c>
      <c r="B38" s="2"/>
      <c r="C38" s="1" t="s">
        <v>41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">
      <c r="A39" s="2">
        <f t="shared" si="0"/>
        <v>37</v>
      </c>
      <c r="B39" s="2"/>
      <c r="C39" s="1" t="s">
        <v>42</v>
      </c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">
      <c r="A40" s="2">
        <f t="shared" si="0"/>
        <v>38</v>
      </c>
      <c r="B40" s="2"/>
      <c r="C40" s="1" t="s">
        <v>26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">
      <c r="A41" s="2">
        <f t="shared" si="0"/>
        <v>39</v>
      </c>
      <c r="B41" s="2"/>
      <c r="C41" s="1" t="s">
        <v>43</v>
      </c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">
      <c r="A42" s="2">
        <f t="shared" si="0"/>
        <v>40</v>
      </c>
      <c r="B42" s="2"/>
      <c r="C42" s="1" t="s">
        <v>44</v>
      </c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">
      <c r="A43" s="2">
        <f t="shared" si="0"/>
        <v>41</v>
      </c>
      <c r="B43" s="2"/>
      <c r="C43" s="1" t="s">
        <v>45</v>
      </c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">
      <c r="A44" s="2">
        <f t="shared" si="0"/>
        <v>42</v>
      </c>
      <c r="B44" s="2"/>
      <c r="C44" s="1" t="s">
        <v>46</v>
      </c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">
      <c r="A45" s="2">
        <f t="shared" si="0"/>
        <v>43</v>
      </c>
      <c r="B45" s="2"/>
      <c r="C45" s="1" t="s">
        <v>47</v>
      </c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3">
      <c r="A46" s="2">
        <f t="shared" si="0"/>
        <v>44</v>
      </c>
      <c r="B46" s="2"/>
      <c r="C46" s="1" t="s">
        <v>48</v>
      </c>
      <c r="D46" s="1" t="s">
        <v>124</v>
      </c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2">
        <f t="shared" si="0"/>
        <v>45</v>
      </c>
      <c r="B47" s="2"/>
      <c r="C47" s="1" t="s">
        <v>49</v>
      </c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3">
      <c r="A48" s="2">
        <f t="shared" si="0"/>
        <v>46</v>
      </c>
      <c r="B48" s="2"/>
      <c r="C48" s="1" t="s">
        <v>50</v>
      </c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">
      <c r="A49" s="2">
        <f t="shared" si="0"/>
        <v>47</v>
      </c>
      <c r="B49" s="2"/>
      <c r="C49" s="1" t="s">
        <v>51</v>
      </c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3">
      <c r="A50" s="2">
        <f t="shared" si="0"/>
        <v>48</v>
      </c>
      <c r="B50" s="2"/>
      <c r="C50" s="1" t="s">
        <v>52</v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3">
      <c r="A51" s="2">
        <f t="shared" si="0"/>
        <v>49</v>
      </c>
      <c r="B51" s="2"/>
      <c r="C51" s="1" t="s">
        <v>53</v>
      </c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 s="2">
        <f t="shared" si="0"/>
        <v>50</v>
      </c>
      <c r="B52" s="2"/>
      <c r="C52" s="1" t="s">
        <v>54</v>
      </c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">
      <c r="A53" s="2">
        <f t="shared" si="0"/>
        <v>51</v>
      </c>
      <c r="B53" s="2"/>
      <c r="C53" s="1" t="s">
        <v>55</v>
      </c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">
      <c r="A54" s="2">
        <f t="shared" si="0"/>
        <v>52</v>
      </c>
      <c r="B54" s="2" t="s">
        <v>56</v>
      </c>
      <c r="C54" s="1" t="s">
        <v>57</v>
      </c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3">
      <c r="A55" s="2">
        <f t="shared" si="0"/>
        <v>53</v>
      </c>
      <c r="B55" s="2"/>
      <c r="C55" s="1" t="s">
        <v>58</v>
      </c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3">
      <c r="A56" s="2">
        <f t="shared" si="0"/>
        <v>54</v>
      </c>
      <c r="B56" s="2"/>
      <c r="C56" s="1" t="s">
        <v>59</v>
      </c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3">
      <c r="A57" s="2">
        <f t="shared" si="0"/>
        <v>55</v>
      </c>
      <c r="B57" s="2"/>
      <c r="C57" s="1" t="s">
        <v>60</v>
      </c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3">
      <c r="A58" s="2">
        <f t="shared" si="0"/>
        <v>56</v>
      </c>
      <c r="B58" s="2"/>
      <c r="C58" s="1" t="s">
        <v>38</v>
      </c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3">
      <c r="A59" s="2">
        <f t="shared" si="0"/>
        <v>57</v>
      </c>
      <c r="B59" s="2"/>
      <c r="C59" s="1" t="s">
        <v>61</v>
      </c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">
      <c r="A60" s="2">
        <f t="shared" si="0"/>
        <v>58</v>
      </c>
      <c r="B60" s="2"/>
      <c r="C60" s="1" t="s">
        <v>62</v>
      </c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">
      <c r="A61" s="2">
        <f t="shared" si="0"/>
        <v>59</v>
      </c>
      <c r="B61" s="2" t="s">
        <v>63</v>
      </c>
      <c r="C61" s="1" t="s">
        <v>64</v>
      </c>
      <c r="D61" s="1" t="s">
        <v>101</v>
      </c>
      <c r="E61" s="1" t="s">
        <v>95</v>
      </c>
      <c r="F61" s="1" t="s">
        <v>100</v>
      </c>
      <c r="G61" s="1"/>
      <c r="H61" s="1"/>
      <c r="I61" s="1"/>
      <c r="J61" s="1"/>
      <c r="K61" s="1"/>
      <c r="L61" s="1"/>
      <c r="M61" s="1"/>
    </row>
    <row r="62" spans="1:13" x14ac:dyDescent="0.3">
      <c r="A62" s="2">
        <f t="shared" si="0"/>
        <v>60</v>
      </c>
      <c r="B62" s="2"/>
      <c r="C62" s="1" t="s">
        <v>65</v>
      </c>
      <c r="D62" s="1" t="s">
        <v>103</v>
      </c>
      <c r="E62" s="1" t="s">
        <v>96</v>
      </c>
      <c r="F62" s="1" t="s">
        <v>96</v>
      </c>
      <c r="G62" s="1"/>
      <c r="H62" s="1"/>
      <c r="I62" s="1"/>
      <c r="J62" s="1"/>
      <c r="K62" s="1"/>
      <c r="L62" s="1"/>
      <c r="M62" s="1"/>
    </row>
    <row r="63" spans="1:13" x14ac:dyDescent="0.3">
      <c r="A63" s="2">
        <f t="shared" si="0"/>
        <v>61</v>
      </c>
      <c r="B63" s="2"/>
      <c r="C63" s="1" t="s">
        <v>66</v>
      </c>
      <c r="D63" s="1" t="s">
        <v>104</v>
      </c>
      <c r="E63" s="1" t="s">
        <v>97</v>
      </c>
      <c r="F63" s="1" t="s">
        <v>97</v>
      </c>
      <c r="G63" s="1"/>
      <c r="H63" s="1"/>
      <c r="I63" s="1"/>
      <c r="J63" s="1"/>
      <c r="K63" s="1"/>
      <c r="L63" s="1"/>
      <c r="M63" s="1"/>
    </row>
    <row r="64" spans="1:13" x14ac:dyDescent="0.3">
      <c r="A64" s="2">
        <f t="shared" si="0"/>
        <v>62</v>
      </c>
      <c r="B64" s="2"/>
      <c r="C64" s="1" t="s">
        <v>67</v>
      </c>
      <c r="D64" s="1" t="s">
        <v>105</v>
      </c>
      <c r="E64" s="5">
        <v>45291</v>
      </c>
      <c r="F64" s="5">
        <v>45291</v>
      </c>
      <c r="G64" s="1"/>
      <c r="H64" s="1"/>
      <c r="I64" s="1"/>
      <c r="J64" s="1"/>
      <c r="K64" s="1"/>
      <c r="L64" s="1"/>
      <c r="M64" s="1"/>
    </row>
    <row r="65" spans="1:13" x14ac:dyDescent="0.3">
      <c r="A65" s="2">
        <f t="shared" si="0"/>
        <v>63</v>
      </c>
      <c r="B65" s="2"/>
      <c r="C65" s="1" t="s">
        <v>68</v>
      </c>
      <c r="D65" s="1" t="s">
        <v>102</v>
      </c>
      <c r="E65" s="6">
        <v>4688.67</v>
      </c>
      <c r="F65" s="6">
        <v>2420.81</v>
      </c>
      <c r="G65" s="1"/>
      <c r="H65" s="1"/>
      <c r="I65" s="1"/>
      <c r="J65" s="1"/>
      <c r="K65" s="1"/>
      <c r="L65" s="1"/>
      <c r="M65" s="1"/>
    </row>
    <row r="66" spans="1:13" x14ac:dyDescent="0.3">
      <c r="A66" s="2">
        <f t="shared" si="0"/>
        <v>64</v>
      </c>
      <c r="B66" s="2"/>
      <c r="C66" s="1" t="s">
        <v>69</v>
      </c>
      <c r="D66" s="1" t="s">
        <v>106</v>
      </c>
      <c r="E66" s="7">
        <v>14500.45</v>
      </c>
      <c r="F66" s="6">
        <v>7011.68</v>
      </c>
      <c r="G66" s="1"/>
      <c r="H66" s="1"/>
      <c r="I66" s="1"/>
      <c r="J66" s="1"/>
      <c r="K66" s="1"/>
      <c r="L66" s="1"/>
      <c r="M66" s="1"/>
    </row>
    <row r="67" spans="1:13" x14ac:dyDescent="0.3">
      <c r="A67" s="2">
        <f t="shared" si="0"/>
        <v>65</v>
      </c>
      <c r="B67" s="2"/>
      <c r="C67" s="1" t="s">
        <v>70</v>
      </c>
      <c r="D67" s="1" t="s">
        <v>108</v>
      </c>
      <c r="E67" s="6">
        <v>0</v>
      </c>
      <c r="F67" s="6">
        <v>0</v>
      </c>
      <c r="G67" s="1"/>
      <c r="H67" s="1"/>
      <c r="I67" s="1"/>
      <c r="J67" s="1"/>
      <c r="K67" s="1"/>
      <c r="L67" s="1"/>
      <c r="M67" s="1"/>
    </row>
    <row r="68" spans="1:13" x14ac:dyDescent="0.3">
      <c r="A68" s="2">
        <f t="shared" si="0"/>
        <v>66</v>
      </c>
      <c r="B68" s="2"/>
      <c r="C68" s="1" t="s">
        <v>71</v>
      </c>
      <c r="D68" s="1" t="s">
        <v>107</v>
      </c>
      <c r="E68" s="6">
        <v>0</v>
      </c>
      <c r="F68" s="6">
        <v>0</v>
      </c>
      <c r="G68" s="1"/>
      <c r="H68" s="1"/>
      <c r="I68" s="1"/>
      <c r="J68" s="1"/>
      <c r="K68" s="1"/>
      <c r="L68" s="1"/>
      <c r="M68" s="1"/>
    </row>
    <row r="69" spans="1:13" x14ac:dyDescent="0.3">
      <c r="A69" s="2">
        <f t="shared" ref="A69:A82" si="1">A68+1</f>
        <v>67</v>
      </c>
      <c r="B69" s="2"/>
      <c r="C69" s="1" t="s">
        <v>72</v>
      </c>
      <c r="D69" s="6" t="s">
        <v>98</v>
      </c>
      <c r="E69" s="6"/>
      <c r="F69" s="6"/>
      <c r="G69" s="1"/>
      <c r="H69" s="1"/>
      <c r="I69" s="1"/>
      <c r="J69" s="1"/>
      <c r="K69" s="1"/>
      <c r="L69" s="1"/>
      <c r="M69" s="1"/>
    </row>
    <row r="70" spans="1:13" x14ac:dyDescent="0.3">
      <c r="A70" s="2">
        <f t="shared" si="1"/>
        <v>68</v>
      </c>
      <c r="B70" s="2"/>
      <c r="C70" s="1" t="s">
        <v>26</v>
      </c>
      <c r="D70" s="6" t="s">
        <v>98</v>
      </c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3">
      <c r="A71" s="2">
        <f t="shared" si="1"/>
        <v>69</v>
      </c>
      <c r="B71" s="2"/>
      <c r="C71" s="1" t="s">
        <v>73</v>
      </c>
      <c r="D71" s="6" t="s">
        <v>98</v>
      </c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3">
      <c r="A72" s="2">
        <f t="shared" si="1"/>
        <v>70</v>
      </c>
      <c r="B72" s="2"/>
      <c r="C72" s="1" t="s">
        <v>74</v>
      </c>
      <c r="D72" s="6" t="s">
        <v>109</v>
      </c>
      <c r="E72" s="6" t="s">
        <v>99</v>
      </c>
      <c r="F72" s="1"/>
      <c r="G72" s="1"/>
      <c r="H72" s="1"/>
      <c r="I72" s="1"/>
      <c r="J72" s="1"/>
      <c r="K72" s="1"/>
      <c r="L72" s="1"/>
      <c r="M72" s="1"/>
    </row>
    <row r="73" spans="1:13" x14ac:dyDescent="0.3">
      <c r="A73" s="2">
        <f t="shared" si="1"/>
        <v>71</v>
      </c>
      <c r="B73" s="2"/>
      <c r="C73" s="1" t="s">
        <v>75</v>
      </c>
      <c r="D73" s="1" t="s">
        <v>98</v>
      </c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3">
      <c r="A74" s="2">
        <f t="shared" si="1"/>
        <v>72</v>
      </c>
      <c r="B74" s="2"/>
      <c r="C74" s="1" t="s">
        <v>76</v>
      </c>
      <c r="D74" s="1" t="s">
        <v>98</v>
      </c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">
      <c r="A75" s="2">
        <f t="shared" si="1"/>
        <v>73</v>
      </c>
      <c r="B75" s="2"/>
      <c r="C75" s="1" t="s">
        <v>77</v>
      </c>
      <c r="D75" s="1" t="s">
        <v>98</v>
      </c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3">
      <c r="A76" s="2">
        <f t="shared" si="1"/>
        <v>74</v>
      </c>
      <c r="B76" s="2"/>
      <c r="C76" s="1" t="s">
        <v>78</v>
      </c>
      <c r="D76" s="1" t="s">
        <v>98</v>
      </c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 s="2">
        <f t="shared" si="1"/>
        <v>75</v>
      </c>
      <c r="B77" s="2"/>
      <c r="C77" s="1" t="s">
        <v>79</v>
      </c>
      <c r="D77" s="1" t="s">
        <v>98</v>
      </c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3">
      <c r="A78" s="2">
        <f t="shared" si="1"/>
        <v>76</v>
      </c>
      <c r="B78" s="2"/>
      <c r="C78" s="1" t="s">
        <v>80</v>
      </c>
      <c r="D78" s="1" t="s">
        <v>98</v>
      </c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3">
      <c r="A79" s="2">
        <f t="shared" si="1"/>
        <v>77</v>
      </c>
      <c r="B79" s="2"/>
      <c r="C79" s="1" t="s">
        <v>81</v>
      </c>
      <c r="D79" s="1" t="s">
        <v>98</v>
      </c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3">
      <c r="A80" s="2">
        <f t="shared" si="1"/>
        <v>78</v>
      </c>
      <c r="B80" s="2"/>
      <c r="C80" s="1" t="s">
        <v>82</v>
      </c>
      <c r="D80" s="1" t="s">
        <v>98</v>
      </c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3">
      <c r="A81" s="2">
        <f t="shared" si="1"/>
        <v>79</v>
      </c>
      <c r="B81" s="2"/>
      <c r="C81" s="1" t="s">
        <v>83</v>
      </c>
      <c r="D81" s="1" t="s">
        <v>98</v>
      </c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3">
      <c r="A82" s="2">
        <f t="shared" si="1"/>
        <v>80</v>
      </c>
      <c r="B82" s="2"/>
      <c r="C82" s="1" t="s">
        <v>84</v>
      </c>
      <c r="D82" s="1" t="s">
        <v>98</v>
      </c>
      <c r="E82" s="1"/>
      <c r="F82" s="1"/>
      <c r="G82" s="1"/>
      <c r="H82" s="1"/>
      <c r="I82" s="1"/>
      <c r="J82" s="1"/>
      <c r="K82" s="1"/>
      <c r="L82" s="1"/>
      <c r="M8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Capital Gain_1099-B</vt:lpstr>
      <vt:lpstr>Consolidated Brokerage Statemen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Devnath Jaiswal</dc:creator>
  <cp:lastModifiedBy>Sanjay Mahurkar</cp:lastModifiedBy>
  <dcterms:created xsi:type="dcterms:W3CDTF">2015-06-05T18:17:20Z</dcterms:created>
  <dcterms:modified xsi:type="dcterms:W3CDTF">2025-02-13T10:37:25Z</dcterms:modified>
</cp:coreProperties>
</file>